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1CB03768-D97E-4F6F-AA14-18CDA42086ED}" xr6:coauthVersionLast="36" xr6:coauthVersionMax="36" xr10:uidLastSave="{00000000-0000-0000-0000-000000000000}"/>
  <bookViews>
    <workbookView xWindow="0" yWindow="0" windowWidth="16170" windowHeight="5955" xr2:uid="{00000000-000D-0000-FFFF-FFFF00000000}"/>
  </bookViews>
  <sheets>
    <sheet name="Sales Data" sheetId="1" r:id="rId1"/>
    <sheet name="Employee Data" sheetId="2" r:id="rId2"/>
  </sheets>
  <calcPr calcId="191029"/>
</workbook>
</file>

<file path=xl/calcChain.xml><?xml version="1.0" encoding="utf-8"?>
<calcChain xmlns="http://schemas.openxmlformats.org/spreadsheetml/2006/main">
  <c r="P2" i="1" l="1"/>
  <c r="O2" i="1"/>
  <c r="N2" i="1"/>
  <c r="M2" i="1"/>
  <c r="L2" i="1"/>
  <c r="K3" i="1"/>
  <c r="K4" i="1"/>
  <c r="K5" i="1"/>
  <c r="K6" i="1"/>
  <c r="K2" i="1"/>
  <c r="J2" i="1"/>
  <c r="I2" i="1"/>
  <c r="H2" i="1"/>
  <c r="F2" i="1"/>
  <c r="G2" i="1"/>
  <c r="F6" i="1"/>
  <c r="F5" i="1"/>
  <c r="F4" i="1"/>
  <c r="F3" i="1"/>
</calcChain>
</file>

<file path=xl/sharedStrings.xml><?xml version="1.0" encoding="utf-8"?>
<sst xmlns="http://schemas.openxmlformats.org/spreadsheetml/2006/main" count="46" uniqueCount="43">
  <si>
    <t>Date</t>
  </si>
  <si>
    <t>Product</t>
  </si>
  <si>
    <t>Region</t>
  </si>
  <si>
    <t>Units Sold</t>
  </si>
  <si>
    <t>Unit Price</t>
  </si>
  <si>
    <t>Total Sales</t>
  </si>
  <si>
    <t>2025-01-01</t>
  </si>
  <si>
    <t>Notebook</t>
  </si>
  <si>
    <t>North</t>
  </si>
  <si>
    <t>2025-01-02</t>
  </si>
  <si>
    <t>Pen</t>
  </si>
  <si>
    <t>South</t>
  </si>
  <si>
    <t>2025-01-03</t>
  </si>
  <si>
    <t>Bag</t>
  </si>
  <si>
    <t>East</t>
  </si>
  <si>
    <t>2025-01-04</t>
  </si>
  <si>
    <t>Bottle</t>
  </si>
  <si>
    <t>West</t>
  </si>
  <si>
    <t>2025-01-05</t>
  </si>
  <si>
    <t>Employee ID</t>
  </si>
  <si>
    <t>Name</t>
  </si>
  <si>
    <t>Department</t>
  </si>
  <si>
    <t>Salary</t>
  </si>
  <si>
    <t>Attendance (%)</t>
  </si>
  <si>
    <t>Rohan Sharma</t>
  </si>
  <si>
    <t>Sales</t>
  </si>
  <si>
    <t>Priya Das</t>
  </si>
  <si>
    <t>HR</t>
  </si>
  <si>
    <t>Amit Verma</t>
  </si>
  <si>
    <t>IT</t>
  </si>
  <si>
    <t>Sneha Roy</t>
  </si>
  <si>
    <t>Finance</t>
  </si>
  <si>
    <t>Arjun Singh</t>
  </si>
  <si>
    <t>total notebook sale</t>
  </si>
  <si>
    <t>total sale for south region</t>
  </si>
  <si>
    <t>sales entries belong to the “North”</t>
  </si>
  <si>
    <t>Average units sold where Unit Price &gt; 5</t>
  </si>
  <si>
    <t>“High Sale” if Total Sales &gt; 2,000 otherwise “Low Sale”</t>
  </si>
  <si>
    <t>Count of product 'Pen'</t>
  </si>
  <si>
    <t>total sales for products sold in the “East”</t>
  </si>
  <si>
    <t>highest Unit Price from the list</t>
  </si>
  <si>
    <t>Lowest Units Sold</t>
  </si>
  <si>
    <t>Average Total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</si>
</sst>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0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1"/>
  <sheetViews>
    <sheetView tabSelected="1" workbookViewId="0">
      <selection activeCell="P3" sqref="P3"/>
    </sheetView>
  </sheetViews>
  <sheetFormatPr defaultRowHeight="15" x14ac:dyDescent="0.25"/>
  <cols>
    <col min="1" max="1" width="10.42578125" bestFit="1" customWidth="1"/>
    <col min="2" max="2" width="9.85546875" bestFit="1" customWidth="1"/>
    <col min="4" max="4" width="9.85546875" bestFit="1" customWidth="1"/>
    <col min="5" max="5" width="9.5703125" bestFit="1" customWidth="1"/>
    <col min="6" max="6" width="10.42578125" bestFit="1" customWidth="1"/>
  </cols>
  <sheetData>
    <row r="1" spans="1:17" ht="12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33</v>
      </c>
      <c r="H1" s="3" t="s">
        <v>34</v>
      </c>
      <c r="I1" s="3" t="s">
        <v>35</v>
      </c>
      <c r="J1" s="3" t="s">
        <v>36</v>
      </c>
      <c r="K1" s="3" t="s">
        <v>37</v>
      </c>
      <c r="L1" s="3" t="s">
        <v>38</v>
      </c>
      <c r="M1" s="3" t="s">
        <v>39</v>
      </c>
      <c r="N1" s="3" t="s">
        <v>40</v>
      </c>
      <c r="O1" s="1" t="s">
        <v>41</v>
      </c>
      <c r="P1" s="1" t="s">
        <v>42</v>
      </c>
      <c r="Q1" s="2"/>
    </row>
    <row r="2" spans="1:17" x14ac:dyDescent="0.25">
      <c r="A2" s="2" t="s">
        <v>6</v>
      </c>
      <c r="B2" s="2" t="s">
        <v>7</v>
      </c>
      <c r="C2" s="2" t="s">
        <v>8</v>
      </c>
      <c r="D2" s="2">
        <v>40</v>
      </c>
      <c r="E2" s="2">
        <v>50</v>
      </c>
      <c r="F2" s="2">
        <f>D2*E2</f>
        <v>2000</v>
      </c>
      <c r="G2" s="2">
        <f>SUMIF(B2:B6,"Notebook",D2:D6)</f>
        <v>70</v>
      </c>
      <c r="H2" s="2">
        <f>SUMIF(C2:C6,"South",F2:F6)</f>
        <v>2700</v>
      </c>
      <c r="I2" s="2">
        <f>COUNTIF(C2:C6,"North")</f>
        <v>1</v>
      </c>
      <c r="J2" s="2">
        <f>AVERAGEIF(E2:E6,"&gt;50",D2:D6)</f>
        <v>42.5</v>
      </c>
      <c r="K2" s="2" t="str">
        <f>IF(F2&gt;2000,"HIGH SALE","LOW SALE")</f>
        <v>LOW SALE</v>
      </c>
      <c r="L2" s="2">
        <f>COUNTIF(B2:B6,"Pen")</f>
        <v>1</v>
      </c>
      <c r="M2" s="2">
        <f>SUMIF(C2:C6,"East",F2:F6)</f>
        <v>7500</v>
      </c>
      <c r="N2" s="2">
        <f>MAX(E2:E6)</f>
        <v>300</v>
      </c>
      <c r="O2" s="2">
        <f>MIN(D2:D6)</f>
        <v>25</v>
      </c>
      <c r="P2" s="2">
        <f>AVERAGE(F2:F6)</f>
        <v>3400</v>
      </c>
      <c r="Q2" s="2"/>
    </row>
    <row r="3" spans="1:17" x14ac:dyDescent="0.25">
      <c r="A3" s="2" t="s">
        <v>9</v>
      </c>
      <c r="B3" s="2" t="s">
        <v>10</v>
      </c>
      <c r="C3" s="2" t="s">
        <v>11</v>
      </c>
      <c r="D3" s="2">
        <v>120</v>
      </c>
      <c r="E3" s="2">
        <v>10</v>
      </c>
      <c r="F3" s="2">
        <f>D3*E3</f>
        <v>1200</v>
      </c>
      <c r="G3" s="2"/>
      <c r="H3" s="2"/>
      <c r="I3" s="2"/>
      <c r="J3" s="2"/>
      <c r="K3" s="2" t="str">
        <f t="shared" ref="K3:K6" si="0">IF(F3&gt;2000,"HIGH SALE","LOW SALE")</f>
        <v>LOW SALE</v>
      </c>
      <c r="L3" s="2"/>
      <c r="M3" s="2"/>
      <c r="N3" s="2"/>
      <c r="O3" s="2"/>
      <c r="P3" s="2"/>
      <c r="Q3" s="2"/>
    </row>
    <row r="4" spans="1:17" x14ac:dyDescent="0.25">
      <c r="A4" s="2" t="s">
        <v>12</v>
      </c>
      <c r="B4" s="2" t="s">
        <v>13</v>
      </c>
      <c r="C4" s="2" t="s">
        <v>14</v>
      </c>
      <c r="D4" s="2">
        <v>25</v>
      </c>
      <c r="E4" s="2">
        <v>300</v>
      </c>
      <c r="F4" s="2">
        <f>D4*E4</f>
        <v>7500</v>
      </c>
      <c r="G4" s="2"/>
      <c r="H4" s="2"/>
      <c r="I4" s="2"/>
      <c r="J4" s="2"/>
      <c r="K4" s="2" t="str">
        <f t="shared" si="0"/>
        <v>HIGH SALE</v>
      </c>
      <c r="L4" s="2"/>
      <c r="M4" s="2"/>
      <c r="N4" s="2"/>
      <c r="O4" s="2"/>
      <c r="P4" s="2"/>
      <c r="Q4" s="2"/>
    </row>
    <row r="5" spans="1:17" x14ac:dyDescent="0.25">
      <c r="A5" s="2" t="s">
        <v>15</v>
      </c>
      <c r="B5" s="2" t="s">
        <v>16</v>
      </c>
      <c r="C5" s="2" t="s">
        <v>17</v>
      </c>
      <c r="D5" s="2">
        <v>60</v>
      </c>
      <c r="E5" s="2">
        <v>80</v>
      </c>
      <c r="F5" s="2">
        <f>D5*E5</f>
        <v>4800</v>
      </c>
      <c r="G5" s="7"/>
      <c r="H5" s="2"/>
      <c r="I5" s="2"/>
      <c r="J5" s="2"/>
      <c r="K5" s="2" t="str">
        <f t="shared" si="0"/>
        <v>HIGH SALE</v>
      </c>
      <c r="L5" s="2"/>
      <c r="M5" s="2"/>
      <c r="N5" s="2"/>
      <c r="O5" s="2"/>
      <c r="P5" s="2"/>
      <c r="Q5" s="2"/>
    </row>
    <row r="6" spans="1:17" x14ac:dyDescent="0.25">
      <c r="A6" s="2" t="s">
        <v>18</v>
      </c>
      <c r="B6" s="2" t="s">
        <v>7</v>
      </c>
      <c r="C6" s="2" t="s">
        <v>11</v>
      </c>
      <c r="D6" s="2">
        <v>30</v>
      </c>
      <c r="E6" s="2">
        <v>50</v>
      </c>
      <c r="F6" s="2">
        <f>D6*E6</f>
        <v>1500</v>
      </c>
      <c r="G6" s="7"/>
      <c r="H6" s="2"/>
      <c r="I6" s="2"/>
      <c r="J6" s="2"/>
      <c r="K6" s="2" t="str">
        <f t="shared" si="0"/>
        <v>LOW SALE</v>
      </c>
      <c r="L6" s="2"/>
      <c r="M6" s="2"/>
      <c r="N6" s="2"/>
      <c r="O6" s="2"/>
      <c r="P6" s="2"/>
      <c r="Q6" s="2"/>
    </row>
    <row r="7" spans="1:17" x14ac:dyDescent="0.25">
      <c r="A7" s="5"/>
      <c r="B7" s="6"/>
      <c r="C7" s="6"/>
      <c r="D7" s="6"/>
      <c r="E7" s="6"/>
      <c r="F7" s="6"/>
      <c r="G7" s="6"/>
      <c r="H7" s="4"/>
      <c r="I7" s="4"/>
      <c r="J7" s="4"/>
      <c r="K7" s="4"/>
      <c r="L7" s="4"/>
      <c r="M7" s="4"/>
      <c r="N7" s="4"/>
      <c r="O7" s="4"/>
      <c r="P7" s="4"/>
      <c r="Q7" s="4"/>
    </row>
    <row r="11" spans="1:17" x14ac:dyDescent="0.25">
      <c r="G11" s="4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"/>
  <sheetViews>
    <sheetView workbookViewId="0">
      <selection activeCell="E2" sqref="E2"/>
    </sheetView>
  </sheetViews>
  <sheetFormatPr defaultRowHeight="15" x14ac:dyDescent="0.25"/>
  <cols>
    <col min="1" max="1" width="12.140625" bestFit="1" customWidth="1"/>
    <col min="2" max="2" width="13.7109375" bestFit="1" customWidth="1"/>
    <col min="3" max="3" width="11.7109375" bestFit="1" customWidth="1"/>
    <col min="4" max="4" width="6.28515625" bestFit="1" customWidth="1"/>
    <col min="5" max="5" width="14.85546875" bestFit="1" customWidth="1"/>
  </cols>
  <sheetData>
    <row r="1" spans="1:5" x14ac:dyDescent="0.25">
      <c r="A1" t="s">
        <v>19</v>
      </c>
      <c r="B1" t="s">
        <v>20</v>
      </c>
      <c r="C1" t="s">
        <v>21</v>
      </c>
      <c r="D1" t="s">
        <v>22</v>
      </c>
      <c r="E1" t="s">
        <v>23</v>
      </c>
    </row>
    <row r="2" spans="1:5" x14ac:dyDescent="0.25">
      <c r="A2">
        <v>101</v>
      </c>
      <c r="B2" t="s">
        <v>24</v>
      </c>
      <c r="C2" t="s">
        <v>25</v>
      </c>
      <c r="D2">
        <v>35000</v>
      </c>
      <c r="E2">
        <v>92</v>
      </c>
    </row>
    <row r="3" spans="1:5" x14ac:dyDescent="0.25">
      <c r="A3">
        <v>102</v>
      </c>
      <c r="B3" t="s">
        <v>26</v>
      </c>
      <c r="C3" t="s">
        <v>27</v>
      </c>
      <c r="D3">
        <v>42000</v>
      </c>
      <c r="E3">
        <v>87</v>
      </c>
    </row>
    <row r="4" spans="1:5" x14ac:dyDescent="0.25">
      <c r="A4">
        <v>103</v>
      </c>
      <c r="B4" t="s">
        <v>28</v>
      </c>
      <c r="C4" t="s">
        <v>29</v>
      </c>
      <c r="D4">
        <v>50000</v>
      </c>
      <c r="E4">
        <v>95</v>
      </c>
    </row>
    <row r="5" spans="1:5" x14ac:dyDescent="0.25">
      <c r="A5">
        <v>104</v>
      </c>
      <c r="B5" t="s">
        <v>30</v>
      </c>
      <c r="C5" t="s">
        <v>31</v>
      </c>
      <c r="D5">
        <v>47000</v>
      </c>
      <c r="E5">
        <v>89</v>
      </c>
    </row>
    <row r="6" spans="1:5" x14ac:dyDescent="0.25">
      <c r="A6">
        <v>105</v>
      </c>
      <c r="B6" t="s">
        <v>32</v>
      </c>
      <c r="C6" t="s">
        <v>25</v>
      </c>
      <c r="D6">
        <v>36000</v>
      </c>
      <c r="E6">
        <v>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 Data</vt:lpstr>
      <vt:lpstr>Employee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2025-11-23T15:02:47Z</dcterms:created>
  <dcterms:modified xsi:type="dcterms:W3CDTF">2025-11-23T16:10:46Z</dcterms:modified>
</cp:coreProperties>
</file>